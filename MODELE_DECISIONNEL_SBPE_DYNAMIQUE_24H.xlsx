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SBPE_Dashboard\"/>
    </mc:Choice>
  </mc:AlternateContent>
  <xr:revisionPtr revIDLastSave="0" documentId="13_ncr:1_{09AB857D-738F-44B3-83DA-9997DAC49989}" xr6:coauthVersionLast="47" xr6:coauthVersionMax="47" xr10:uidLastSave="{00000000-0000-0000-0000-000000000000}"/>
  <bookViews>
    <workbookView xWindow="-90" yWindow="0" windowWidth="9780" windowHeight="10170" firstSheet="3" activeTab="3" xr2:uid="{00000000-000D-0000-FFFF-FFFF00000000}"/>
  </bookViews>
  <sheets>
    <sheet name="INPUT_24H" sheetId="1" r:id="rId1"/>
    <sheet name="COUTS_SOURCES" sheetId="2" r:id="rId2"/>
    <sheet name="PARAMETRES_SECURITE" sheetId="3" r:id="rId3"/>
    <sheet name="SCENARIOS_DYNAMIQUES" sheetId="5" r:id="rId4"/>
  </sheets>
  <calcPr calcId="191029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" i="1"/>
  <c r="M1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7" i="1"/>
  <c r="M18" i="1"/>
  <c r="M19" i="1"/>
  <c r="M20" i="1"/>
  <c r="M21" i="1"/>
  <c r="M22" i="1"/>
  <c r="M23" i="1"/>
  <c r="M24" i="1"/>
  <c r="M25" i="1"/>
  <c r="M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" i="1"/>
</calcChain>
</file>

<file path=xl/sharedStrings.xml><?xml version="1.0" encoding="utf-8"?>
<sst xmlns="http://schemas.openxmlformats.org/spreadsheetml/2006/main" count="55" uniqueCount="42">
  <si>
    <t>Source</t>
  </si>
  <si>
    <t>Cout_Marginal_FCFA_par_MWh</t>
  </si>
  <si>
    <t>Capacite_Max_MW</t>
  </si>
  <si>
    <t>MG1</t>
  </si>
  <si>
    <t>PARAS</t>
  </si>
  <si>
    <t>TRANSCORP</t>
  </si>
  <si>
    <t>SOLAIRE</t>
  </si>
  <si>
    <t>VRA</t>
  </si>
  <si>
    <t>TCN</t>
  </si>
  <si>
    <t>Parametre</t>
  </si>
  <si>
    <t>Valeur</t>
  </si>
  <si>
    <t>Seuil_Marge_Rouge_%</t>
  </si>
  <si>
    <t>Seuil_Marge_Orange_%</t>
  </si>
  <si>
    <t>Seuil_Marge_Jaune_%</t>
  </si>
  <si>
    <t>Seuil_Marge_Vert_%</t>
  </si>
  <si>
    <t>Perte_Unite_Critique_MW</t>
  </si>
  <si>
    <t>Activation (1=Oui / 0=Non)</t>
  </si>
  <si>
    <t>Panne_Groupe_MG1</t>
  </si>
  <si>
    <t>Limitation_VRA</t>
  </si>
  <si>
    <t>Limitation_TCN</t>
  </si>
  <si>
    <t>Chute_Drastique_Solaire</t>
  </si>
  <si>
    <t>Blackout_VRA</t>
  </si>
  <si>
    <t>Blackout_TCN</t>
  </si>
  <si>
    <t>Nouvelle_Disponibilite_MW</t>
  </si>
  <si>
    <t>Heure</t>
  </si>
  <si>
    <t>Source_Affectee</t>
  </si>
  <si>
    <t>Heure_Debut</t>
  </si>
  <si>
    <t>Heure_Fin</t>
  </si>
  <si>
    <t>MG1 VRA</t>
  </si>
  <si>
    <t>Reserve_MG1 VRA</t>
  </si>
  <si>
    <t>MG1 TCN</t>
  </si>
  <si>
    <t>Reserve_MG1 TCN</t>
  </si>
  <si>
    <t>Depacement_Import_TCN</t>
  </si>
  <si>
    <t>Depacement_Import_VRA</t>
  </si>
  <si>
    <t>TRANSCORP+PARAS</t>
  </si>
  <si>
    <t>Limitation_TCN_PARAS</t>
  </si>
  <si>
    <t>Limitation_TCN_TRANSCORP</t>
  </si>
  <si>
    <t>Charge_horaire</t>
  </si>
  <si>
    <t>Charge_TCN</t>
  </si>
  <si>
    <t>Charge_VRA</t>
  </si>
  <si>
    <t>Importation_TCN</t>
  </si>
  <si>
    <t>Alerte_Réseau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</si>
</sst>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 Narrow"/>
      <family val="2"/>
    </font>
    <font>
      <b/>
      <sz val="11"/>
      <color rgb="FF7030A0"/>
      <name val="Arial Narrow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3" fontId="0" fillId="0" borderId="0" xfId="0" applyNumberFormat="1"/>
    <xf numFmtId="164" fontId="0" fillId="0" borderId="0" xfId="0" applyNumberFormat="1"/>
    <xf numFmtId="164" fontId="2" fillId="0" borderId="2" xfId="0" applyNumberFormat="1" applyFont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zoomScale="93" zoomScaleNormal="93" workbookViewId="0">
      <pane xSplit="1" topLeftCell="I1" activePane="topRight" state="frozen"/>
      <selection activeCell="A2" sqref="A2"/>
      <selection pane="topRight" activeCell="J16" sqref="J16"/>
    </sheetView>
  </sheetViews>
  <sheetFormatPr defaultRowHeight="14.5" x14ac:dyDescent="0.35"/>
  <cols>
    <col min="1" max="1" width="10.90625" bestFit="1" customWidth="1"/>
    <col min="2" max="2" width="22.81640625" bestFit="1" customWidth="1"/>
    <col min="3" max="4" width="22.81640625" customWidth="1"/>
    <col min="5" max="5" width="19.36328125" bestFit="1" customWidth="1"/>
    <col min="6" max="6" width="27.08984375" bestFit="1" customWidth="1"/>
    <col min="7" max="7" width="19.36328125" bestFit="1" customWidth="1"/>
    <col min="8" max="8" width="27.08984375" bestFit="1" customWidth="1"/>
    <col min="9" max="9" width="20.81640625" bestFit="1" customWidth="1"/>
    <col min="10" max="10" width="25.6328125" bestFit="1" customWidth="1"/>
    <col min="11" max="11" width="21.08984375" bestFit="1" customWidth="1"/>
    <col min="12" max="12" width="27.1796875" bestFit="1" customWidth="1"/>
    <col min="13" max="13" width="27.08984375" bestFit="1" customWidth="1"/>
  </cols>
  <sheetData>
    <row r="1" spans="1:17" x14ac:dyDescent="0.35">
      <c r="A1" s="2" t="s">
        <v>24</v>
      </c>
      <c r="B1" s="2" t="s">
        <v>37</v>
      </c>
      <c r="C1" s="2" t="s">
        <v>38</v>
      </c>
      <c r="D1" s="2" t="s">
        <v>39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40</v>
      </c>
    </row>
    <row r="2" spans="1:17" x14ac:dyDescent="0.35">
      <c r="A2">
        <v>0</v>
      </c>
      <c r="B2" s="6">
        <f>SUM(C2:D2)</f>
        <v>336.5</v>
      </c>
      <c r="C2" s="6">
        <v>236.50000000000003</v>
      </c>
      <c r="D2" s="6">
        <v>100</v>
      </c>
      <c r="E2" s="7">
        <v>70</v>
      </c>
      <c r="F2" s="8">
        <f>72-E2</f>
        <v>2</v>
      </c>
      <c r="G2" s="7">
        <v>0</v>
      </c>
      <c r="H2" s="8">
        <f>55-G2</f>
        <v>55</v>
      </c>
      <c r="I2" s="6">
        <v>60</v>
      </c>
      <c r="J2" s="9">
        <v>200</v>
      </c>
      <c r="K2" s="7">
        <v>0</v>
      </c>
      <c r="L2" s="9">
        <v>30</v>
      </c>
      <c r="M2" s="6">
        <f>I2+J2</f>
        <v>260</v>
      </c>
      <c r="N2" s="6"/>
      <c r="O2" s="6"/>
      <c r="P2" s="5"/>
      <c r="Q2" s="5"/>
    </row>
    <row r="3" spans="1:17" x14ac:dyDescent="0.35">
      <c r="A3">
        <v>1</v>
      </c>
      <c r="B3" s="6">
        <f t="shared" ref="B3:B25" si="0">SUM(C3:D3)</f>
        <v>331</v>
      </c>
      <c r="C3" s="6">
        <v>231.00000000000003</v>
      </c>
      <c r="D3" s="6">
        <v>100</v>
      </c>
      <c r="E3" s="7">
        <v>70</v>
      </c>
      <c r="F3" s="8">
        <f t="shared" ref="F3:F25" si="1">72-E3</f>
        <v>2</v>
      </c>
      <c r="G3" s="7">
        <v>0</v>
      </c>
      <c r="H3" s="8">
        <f t="shared" ref="H3:H25" si="2">55-G3</f>
        <v>55</v>
      </c>
      <c r="I3" s="6">
        <v>60</v>
      </c>
      <c r="J3" s="9">
        <v>200</v>
      </c>
      <c r="K3" s="7">
        <v>0</v>
      </c>
      <c r="L3" s="9">
        <v>30</v>
      </c>
      <c r="M3" s="6">
        <f t="shared" ref="M3:M25" si="3">I3+J3</f>
        <v>260</v>
      </c>
      <c r="N3" s="6"/>
      <c r="O3" s="6"/>
    </row>
    <row r="4" spans="1:17" x14ac:dyDescent="0.35">
      <c r="A4">
        <v>2</v>
      </c>
      <c r="B4" s="6">
        <f t="shared" si="0"/>
        <v>331.5</v>
      </c>
      <c r="C4" s="6">
        <v>236.50000000000003</v>
      </c>
      <c r="D4" s="6">
        <v>95</v>
      </c>
      <c r="E4" s="7">
        <v>70</v>
      </c>
      <c r="F4" s="8">
        <f t="shared" si="1"/>
        <v>2</v>
      </c>
      <c r="G4" s="7">
        <v>0</v>
      </c>
      <c r="H4" s="8">
        <f t="shared" si="2"/>
        <v>55</v>
      </c>
      <c r="I4" s="6">
        <v>60</v>
      </c>
      <c r="J4" s="9">
        <v>200</v>
      </c>
      <c r="K4" s="7">
        <v>0</v>
      </c>
      <c r="L4" s="9">
        <v>25</v>
      </c>
      <c r="M4" s="6">
        <f t="shared" si="3"/>
        <v>260</v>
      </c>
      <c r="N4" s="6"/>
      <c r="O4" s="6"/>
    </row>
    <row r="5" spans="1:17" x14ac:dyDescent="0.35">
      <c r="A5">
        <v>3</v>
      </c>
      <c r="B5" s="6">
        <f t="shared" si="0"/>
        <v>315</v>
      </c>
      <c r="C5" s="6">
        <v>220.00000000000003</v>
      </c>
      <c r="D5" s="6">
        <v>95</v>
      </c>
      <c r="E5" s="7">
        <v>55</v>
      </c>
      <c r="F5" s="8">
        <f t="shared" si="1"/>
        <v>17</v>
      </c>
      <c r="G5" s="7">
        <v>0</v>
      </c>
      <c r="H5" s="8">
        <f t="shared" si="2"/>
        <v>55</v>
      </c>
      <c r="I5" s="6">
        <v>60</v>
      </c>
      <c r="J5" s="9">
        <v>200</v>
      </c>
      <c r="K5" s="7">
        <v>0</v>
      </c>
      <c r="L5" s="9">
        <v>25</v>
      </c>
      <c r="M5" s="6">
        <f t="shared" si="3"/>
        <v>260</v>
      </c>
      <c r="N5" s="6"/>
      <c r="O5" s="6"/>
    </row>
    <row r="6" spans="1:17" x14ac:dyDescent="0.35">
      <c r="A6">
        <v>4</v>
      </c>
      <c r="B6" s="6">
        <f t="shared" si="0"/>
        <v>326.5</v>
      </c>
      <c r="C6" s="6">
        <v>236.50000000000003</v>
      </c>
      <c r="D6" s="6">
        <v>90</v>
      </c>
      <c r="E6" s="7">
        <v>55</v>
      </c>
      <c r="F6" s="8">
        <f t="shared" si="1"/>
        <v>17</v>
      </c>
      <c r="G6" s="7">
        <v>0</v>
      </c>
      <c r="H6" s="8">
        <f t="shared" si="2"/>
        <v>55</v>
      </c>
      <c r="I6" s="6">
        <v>60</v>
      </c>
      <c r="J6" s="9">
        <v>200</v>
      </c>
      <c r="K6" s="7">
        <v>0</v>
      </c>
      <c r="L6" s="9">
        <v>20</v>
      </c>
      <c r="M6" s="6">
        <f t="shared" si="3"/>
        <v>260</v>
      </c>
      <c r="N6" s="6"/>
      <c r="O6" s="6"/>
    </row>
    <row r="7" spans="1:17" x14ac:dyDescent="0.35">
      <c r="A7">
        <v>5</v>
      </c>
      <c r="B7" s="6">
        <f t="shared" si="0"/>
        <v>315.5</v>
      </c>
      <c r="C7" s="6">
        <v>225.50000000000003</v>
      </c>
      <c r="D7" s="6">
        <v>90</v>
      </c>
      <c r="E7" s="7">
        <v>55</v>
      </c>
      <c r="F7" s="8">
        <f t="shared" si="1"/>
        <v>17</v>
      </c>
      <c r="G7" s="7">
        <v>0</v>
      </c>
      <c r="H7" s="8">
        <f t="shared" si="2"/>
        <v>55</v>
      </c>
      <c r="I7" s="6">
        <v>60</v>
      </c>
      <c r="J7" s="9">
        <v>200</v>
      </c>
      <c r="K7" s="7">
        <v>0</v>
      </c>
      <c r="L7" s="9">
        <v>20</v>
      </c>
      <c r="M7" s="6">
        <f t="shared" si="3"/>
        <v>260</v>
      </c>
      <c r="N7" s="6"/>
      <c r="O7" s="6"/>
    </row>
    <row r="8" spans="1:17" x14ac:dyDescent="0.35">
      <c r="A8">
        <v>6</v>
      </c>
      <c r="B8" s="6">
        <f t="shared" si="0"/>
        <v>310</v>
      </c>
      <c r="C8" s="6">
        <v>220.00000000000003</v>
      </c>
      <c r="D8" s="6">
        <v>90</v>
      </c>
      <c r="E8" s="7">
        <v>55</v>
      </c>
      <c r="F8" s="8">
        <f t="shared" si="1"/>
        <v>17</v>
      </c>
      <c r="G8" s="7">
        <v>0</v>
      </c>
      <c r="H8" s="8">
        <f t="shared" si="2"/>
        <v>55</v>
      </c>
      <c r="I8" s="6">
        <v>60</v>
      </c>
      <c r="J8" s="9">
        <v>200</v>
      </c>
      <c r="K8" s="7">
        <v>0</v>
      </c>
      <c r="L8" s="9">
        <v>20</v>
      </c>
      <c r="M8" s="6">
        <f t="shared" si="3"/>
        <v>260</v>
      </c>
      <c r="N8" s="6"/>
      <c r="O8" s="6"/>
    </row>
    <row r="9" spans="1:17" x14ac:dyDescent="0.35">
      <c r="A9">
        <v>7</v>
      </c>
      <c r="B9" s="6">
        <f t="shared" si="0"/>
        <v>299</v>
      </c>
      <c r="C9" s="6">
        <v>209.00000000000003</v>
      </c>
      <c r="D9" s="6">
        <v>90</v>
      </c>
      <c r="E9" s="7">
        <v>55</v>
      </c>
      <c r="F9" s="8">
        <f t="shared" si="1"/>
        <v>17</v>
      </c>
      <c r="G9" s="7">
        <v>0</v>
      </c>
      <c r="H9" s="8">
        <f t="shared" si="2"/>
        <v>55</v>
      </c>
      <c r="I9" s="6">
        <v>60</v>
      </c>
      <c r="J9" s="9">
        <v>200</v>
      </c>
      <c r="K9" s="7">
        <v>0</v>
      </c>
      <c r="L9" s="9">
        <v>20</v>
      </c>
      <c r="M9" s="6">
        <f t="shared" si="3"/>
        <v>260</v>
      </c>
      <c r="N9" s="6"/>
      <c r="O9" s="6"/>
    </row>
    <row r="10" spans="1:17" x14ac:dyDescent="0.35">
      <c r="A10">
        <v>8</v>
      </c>
      <c r="B10" s="6">
        <f t="shared" si="0"/>
        <v>272</v>
      </c>
      <c r="C10" s="6">
        <v>187.00000000000003</v>
      </c>
      <c r="D10" s="6">
        <v>85</v>
      </c>
      <c r="E10" s="7">
        <v>70</v>
      </c>
      <c r="F10" s="8">
        <f t="shared" si="1"/>
        <v>2</v>
      </c>
      <c r="G10" s="7">
        <v>0</v>
      </c>
      <c r="H10" s="8">
        <f t="shared" si="2"/>
        <v>55</v>
      </c>
      <c r="I10" s="6">
        <v>60</v>
      </c>
      <c r="J10" s="9">
        <v>200</v>
      </c>
      <c r="K10" s="7">
        <v>9.6000000000000014</v>
      </c>
      <c r="L10" s="9">
        <v>15</v>
      </c>
      <c r="M10" s="6">
        <f t="shared" si="3"/>
        <v>260</v>
      </c>
      <c r="N10" s="6"/>
      <c r="O10" s="6"/>
    </row>
    <row r="11" spans="1:17" x14ac:dyDescent="0.35">
      <c r="A11">
        <v>9</v>
      </c>
      <c r="B11" s="6">
        <f t="shared" si="0"/>
        <v>271.5</v>
      </c>
      <c r="C11" s="6">
        <v>181.50000000000003</v>
      </c>
      <c r="D11" s="6">
        <v>90</v>
      </c>
      <c r="E11" s="7">
        <v>70</v>
      </c>
      <c r="F11" s="8">
        <f t="shared" si="1"/>
        <v>2</v>
      </c>
      <c r="G11" s="7">
        <v>0</v>
      </c>
      <c r="H11" s="8">
        <f t="shared" si="2"/>
        <v>55</v>
      </c>
      <c r="I11" s="6">
        <v>60</v>
      </c>
      <c r="J11" s="9">
        <v>200</v>
      </c>
      <c r="K11" s="7">
        <v>17.100000000000001</v>
      </c>
      <c r="L11" s="9">
        <v>20</v>
      </c>
      <c r="M11" s="6">
        <f t="shared" si="3"/>
        <v>260</v>
      </c>
      <c r="N11" s="6"/>
      <c r="O11" s="6"/>
    </row>
    <row r="12" spans="1:17" x14ac:dyDescent="0.35">
      <c r="A12">
        <v>10</v>
      </c>
      <c r="B12" s="6">
        <f t="shared" si="0"/>
        <v>288</v>
      </c>
      <c r="C12" s="6">
        <v>198.00000000000003</v>
      </c>
      <c r="D12" s="6">
        <v>90</v>
      </c>
      <c r="E12" s="7">
        <v>70</v>
      </c>
      <c r="F12" s="8">
        <f t="shared" si="1"/>
        <v>2</v>
      </c>
      <c r="G12" s="7">
        <v>0</v>
      </c>
      <c r="H12" s="8">
        <f t="shared" si="2"/>
        <v>55</v>
      </c>
      <c r="I12" s="6">
        <v>60</v>
      </c>
      <c r="J12" s="9">
        <v>165</v>
      </c>
      <c r="K12" s="7">
        <v>25.5</v>
      </c>
      <c r="L12" s="9">
        <v>20</v>
      </c>
      <c r="M12" s="6">
        <f t="shared" si="3"/>
        <v>225</v>
      </c>
      <c r="N12" s="6"/>
      <c r="O12" s="6"/>
    </row>
    <row r="13" spans="1:17" x14ac:dyDescent="0.35">
      <c r="A13">
        <v>11</v>
      </c>
      <c r="B13" s="6">
        <f t="shared" si="0"/>
        <v>288</v>
      </c>
      <c r="C13" s="6">
        <v>198.00000000000003</v>
      </c>
      <c r="D13" s="6">
        <v>90</v>
      </c>
      <c r="E13" s="7">
        <v>70</v>
      </c>
      <c r="F13" s="8">
        <f t="shared" si="1"/>
        <v>2</v>
      </c>
      <c r="G13" s="7">
        <v>0</v>
      </c>
      <c r="H13" s="8">
        <f t="shared" si="2"/>
        <v>55</v>
      </c>
      <c r="I13" s="6">
        <v>60</v>
      </c>
      <c r="J13" s="9">
        <v>165</v>
      </c>
      <c r="K13" s="7">
        <v>22.5</v>
      </c>
      <c r="L13" s="9">
        <v>20</v>
      </c>
      <c r="M13" s="6">
        <f t="shared" si="3"/>
        <v>225</v>
      </c>
      <c r="N13" s="6"/>
      <c r="O13" s="6"/>
    </row>
    <row r="14" spans="1:17" x14ac:dyDescent="0.35">
      <c r="A14">
        <v>12</v>
      </c>
      <c r="B14" s="6">
        <f t="shared" si="0"/>
        <v>287.5</v>
      </c>
      <c r="C14" s="6">
        <v>192.50000000000003</v>
      </c>
      <c r="D14" s="6">
        <v>95</v>
      </c>
      <c r="E14" s="7">
        <v>70</v>
      </c>
      <c r="F14" s="8">
        <f t="shared" si="1"/>
        <v>2</v>
      </c>
      <c r="G14" s="7">
        <v>0</v>
      </c>
      <c r="H14" s="8">
        <f t="shared" si="2"/>
        <v>55</v>
      </c>
      <c r="I14" s="6">
        <v>60</v>
      </c>
      <c r="J14" s="9">
        <v>165</v>
      </c>
      <c r="K14" s="7">
        <v>23.700000000000003</v>
      </c>
      <c r="L14" s="9">
        <v>25</v>
      </c>
      <c r="M14" s="6">
        <f t="shared" si="3"/>
        <v>225</v>
      </c>
      <c r="N14" s="6"/>
      <c r="O14" s="6"/>
    </row>
    <row r="15" spans="1:17" x14ac:dyDescent="0.35">
      <c r="A15">
        <v>13</v>
      </c>
      <c r="B15" s="6">
        <f t="shared" si="0"/>
        <v>304.5</v>
      </c>
      <c r="C15" s="6">
        <v>214.50000000000003</v>
      </c>
      <c r="D15" s="6">
        <v>90</v>
      </c>
      <c r="E15" s="7">
        <v>70</v>
      </c>
      <c r="F15" s="8">
        <f t="shared" si="1"/>
        <v>2</v>
      </c>
      <c r="G15" s="7">
        <v>0</v>
      </c>
      <c r="H15" s="8">
        <f t="shared" si="2"/>
        <v>55</v>
      </c>
      <c r="I15" s="6">
        <v>60</v>
      </c>
      <c r="J15" s="9">
        <v>165</v>
      </c>
      <c r="K15" s="7">
        <v>26.099999999999998</v>
      </c>
      <c r="L15" s="9">
        <v>20</v>
      </c>
      <c r="M15" s="6">
        <f t="shared" si="3"/>
        <v>225</v>
      </c>
      <c r="N15" s="6"/>
      <c r="O15" s="6"/>
    </row>
    <row r="16" spans="1:17" x14ac:dyDescent="0.35">
      <c r="A16">
        <v>14</v>
      </c>
      <c r="B16" s="6">
        <f t="shared" si="0"/>
        <v>288</v>
      </c>
      <c r="C16" s="6">
        <v>198.00000000000003</v>
      </c>
      <c r="D16" s="6">
        <v>90</v>
      </c>
      <c r="E16" s="7">
        <v>70</v>
      </c>
      <c r="F16" s="10">
        <f t="shared" si="1"/>
        <v>2</v>
      </c>
      <c r="G16" s="7">
        <v>0</v>
      </c>
      <c r="H16" s="10">
        <f t="shared" si="2"/>
        <v>55</v>
      </c>
      <c r="I16" s="6">
        <v>60</v>
      </c>
      <c r="J16" s="9">
        <v>165</v>
      </c>
      <c r="K16" s="7">
        <v>33</v>
      </c>
      <c r="L16" s="9">
        <v>20</v>
      </c>
      <c r="M16" s="6">
        <f>I16+J16</f>
        <v>225</v>
      </c>
      <c r="N16" s="6"/>
      <c r="O16" s="6"/>
    </row>
    <row r="17" spans="1:15" x14ac:dyDescent="0.35">
      <c r="A17">
        <v>15</v>
      </c>
      <c r="B17" s="6">
        <f t="shared" si="0"/>
        <v>282</v>
      </c>
      <c r="C17" s="6">
        <v>187.00000000000003</v>
      </c>
      <c r="D17" s="6">
        <v>95</v>
      </c>
      <c r="E17" s="7">
        <v>70</v>
      </c>
      <c r="F17" s="8">
        <f t="shared" si="1"/>
        <v>2</v>
      </c>
      <c r="G17" s="7">
        <v>0</v>
      </c>
      <c r="H17" s="8">
        <f t="shared" si="2"/>
        <v>55</v>
      </c>
      <c r="I17" s="6">
        <v>60</v>
      </c>
      <c r="J17" s="9">
        <v>165</v>
      </c>
      <c r="K17" s="7">
        <v>20.700000000000003</v>
      </c>
      <c r="L17" s="9">
        <v>25</v>
      </c>
      <c r="M17" s="6">
        <f t="shared" si="3"/>
        <v>225</v>
      </c>
      <c r="N17" s="6"/>
      <c r="O17" s="6"/>
    </row>
    <row r="18" spans="1:15" x14ac:dyDescent="0.35">
      <c r="A18">
        <v>16</v>
      </c>
      <c r="B18" s="6">
        <f t="shared" si="0"/>
        <v>298.5</v>
      </c>
      <c r="C18" s="6">
        <v>203.50000000000003</v>
      </c>
      <c r="D18" s="6">
        <v>95</v>
      </c>
      <c r="E18" s="7">
        <v>70</v>
      </c>
      <c r="F18" s="8">
        <f t="shared" si="1"/>
        <v>2</v>
      </c>
      <c r="G18" s="7">
        <v>0</v>
      </c>
      <c r="H18" s="8">
        <f t="shared" si="2"/>
        <v>55</v>
      </c>
      <c r="I18" s="6">
        <v>60</v>
      </c>
      <c r="J18" s="9">
        <v>165</v>
      </c>
      <c r="K18" s="7">
        <v>8.1000000000000014</v>
      </c>
      <c r="L18" s="9">
        <v>25</v>
      </c>
      <c r="M18" s="6">
        <f t="shared" si="3"/>
        <v>225</v>
      </c>
      <c r="N18" s="6"/>
      <c r="O18" s="6"/>
    </row>
    <row r="19" spans="1:15" x14ac:dyDescent="0.35">
      <c r="A19">
        <v>17</v>
      </c>
      <c r="B19" s="6">
        <f t="shared" si="0"/>
        <v>309.5</v>
      </c>
      <c r="C19" s="6">
        <v>214.50000000000003</v>
      </c>
      <c r="D19" s="6">
        <v>95</v>
      </c>
      <c r="E19" s="7">
        <v>70</v>
      </c>
      <c r="F19" s="8">
        <f t="shared" si="1"/>
        <v>2</v>
      </c>
      <c r="G19" s="7">
        <v>0</v>
      </c>
      <c r="H19" s="8">
        <f t="shared" si="2"/>
        <v>55</v>
      </c>
      <c r="I19" s="6">
        <v>60</v>
      </c>
      <c r="J19" s="9">
        <v>165</v>
      </c>
      <c r="K19" s="7">
        <v>3.3000000000000003</v>
      </c>
      <c r="L19" s="9">
        <v>25</v>
      </c>
      <c r="M19" s="6">
        <f t="shared" si="3"/>
        <v>225</v>
      </c>
      <c r="N19" s="6"/>
      <c r="O19" s="6"/>
    </row>
    <row r="20" spans="1:15" x14ac:dyDescent="0.35">
      <c r="A20">
        <v>18</v>
      </c>
      <c r="B20" s="6">
        <f t="shared" si="0"/>
        <v>304</v>
      </c>
      <c r="C20" s="6">
        <v>209.00000000000003</v>
      </c>
      <c r="D20" s="6">
        <v>95</v>
      </c>
      <c r="E20" s="7">
        <v>70</v>
      </c>
      <c r="F20" s="8">
        <f t="shared" si="1"/>
        <v>2</v>
      </c>
      <c r="G20" s="7">
        <v>0</v>
      </c>
      <c r="H20" s="8">
        <f t="shared" si="2"/>
        <v>55</v>
      </c>
      <c r="I20" s="6">
        <v>60</v>
      </c>
      <c r="J20" s="9">
        <v>165</v>
      </c>
      <c r="K20" s="7">
        <v>3</v>
      </c>
      <c r="L20" s="9">
        <v>25</v>
      </c>
      <c r="M20" s="6">
        <f t="shared" si="3"/>
        <v>225</v>
      </c>
      <c r="N20" s="6"/>
      <c r="O20" s="6"/>
    </row>
    <row r="21" spans="1:15" x14ac:dyDescent="0.35">
      <c r="A21">
        <v>19</v>
      </c>
      <c r="B21" s="6">
        <f t="shared" si="0"/>
        <v>320.5</v>
      </c>
      <c r="C21" s="6">
        <v>225.50000000000003</v>
      </c>
      <c r="D21" s="6">
        <v>95</v>
      </c>
      <c r="E21" s="7">
        <v>70</v>
      </c>
      <c r="F21" s="8">
        <f t="shared" si="1"/>
        <v>2</v>
      </c>
      <c r="G21" s="7">
        <v>0</v>
      </c>
      <c r="H21" s="8">
        <f t="shared" si="2"/>
        <v>55</v>
      </c>
      <c r="I21" s="6">
        <v>60</v>
      </c>
      <c r="J21" s="9">
        <v>200</v>
      </c>
      <c r="K21" s="7">
        <v>0</v>
      </c>
      <c r="L21" s="9">
        <v>25</v>
      </c>
      <c r="M21" s="6">
        <f t="shared" si="3"/>
        <v>260</v>
      </c>
      <c r="N21" s="6"/>
      <c r="O21" s="6"/>
    </row>
    <row r="22" spans="1:15" x14ac:dyDescent="0.35">
      <c r="A22">
        <v>20</v>
      </c>
      <c r="B22" s="6">
        <f t="shared" si="0"/>
        <v>369</v>
      </c>
      <c r="C22" s="6">
        <v>264</v>
      </c>
      <c r="D22" s="6">
        <v>105</v>
      </c>
      <c r="E22" s="7">
        <v>70</v>
      </c>
      <c r="F22" s="8">
        <f t="shared" si="1"/>
        <v>2</v>
      </c>
      <c r="G22" s="7">
        <v>0</v>
      </c>
      <c r="H22" s="8">
        <f t="shared" si="2"/>
        <v>55</v>
      </c>
      <c r="I22" s="6">
        <v>60</v>
      </c>
      <c r="J22" s="9">
        <v>200</v>
      </c>
      <c r="K22" s="7">
        <v>0</v>
      </c>
      <c r="L22" s="9">
        <v>35</v>
      </c>
      <c r="M22" s="6">
        <f t="shared" si="3"/>
        <v>260</v>
      </c>
      <c r="N22" s="6"/>
      <c r="O22" s="6"/>
    </row>
    <row r="23" spans="1:15" x14ac:dyDescent="0.35">
      <c r="A23">
        <v>21</v>
      </c>
      <c r="B23" s="6">
        <f t="shared" si="0"/>
        <v>369</v>
      </c>
      <c r="C23" s="6">
        <v>264</v>
      </c>
      <c r="D23" s="6">
        <v>105</v>
      </c>
      <c r="E23" s="7">
        <v>70</v>
      </c>
      <c r="F23" s="8">
        <f t="shared" si="1"/>
        <v>2</v>
      </c>
      <c r="G23" s="7">
        <v>0</v>
      </c>
      <c r="H23" s="8">
        <f t="shared" si="2"/>
        <v>55</v>
      </c>
      <c r="I23" s="6">
        <v>60</v>
      </c>
      <c r="J23" s="9">
        <v>200</v>
      </c>
      <c r="K23" s="7">
        <v>0</v>
      </c>
      <c r="L23" s="9">
        <v>35</v>
      </c>
      <c r="M23" s="6">
        <f t="shared" si="3"/>
        <v>260</v>
      </c>
      <c r="N23" s="6"/>
      <c r="O23" s="6"/>
    </row>
    <row r="24" spans="1:15" x14ac:dyDescent="0.35">
      <c r="A24">
        <v>22</v>
      </c>
      <c r="B24" s="6">
        <f t="shared" si="0"/>
        <v>380.5</v>
      </c>
      <c r="C24" s="6">
        <v>280.5</v>
      </c>
      <c r="D24" s="6">
        <v>100</v>
      </c>
      <c r="E24" s="7">
        <v>70</v>
      </c>
      <c r="F24" s="8">
        <f t="shared" si="1"/>
        <v>2</v>
      </c>
      <c r="G24" s="7">
        <v>0</v>
      </c>
      <c r="H24" s="8">
        <f t="shared" si="2"/>
        <v>55</v>
      </c>
      <c r="I24" s="6">
        <v>60</v>
      </c>
      <c r="J24" s="9">
        <v>200</v>
      </c>
      <c r="K24" s="7">
        <v>0</v>
      </c>
      <c r="L24" s="9">
        <v>30</v>
      </c>
      <c r="M24" s="6">
        <f t="shared" si="3"/>
        <v>260</v>
      </c>
      <c r="N24" s="6"/>
      <c r="O24" s="6"/>
    </row>
    <row r="25" spans="1:15" x14ac:dyDescent="0.35">
      <c r="A25">
        <v>23</v>
      </c>
      <c r="B25" s="6">
        <f t="shared" si="0"/>
        <v>369.5</v>
      </c>
      <c r="C25" s="6">
        <v>269.5</v>
      </c>
      <c r="D25" s="6">
        <v>100</v>
      </c>
      <c r="E25" s="7">
        <v>70</v>
      </c>
      <c r="F25" s="8">
        <f t="shared" si="1"/>
        <v>2</v>
      </c>
      <c r="G25" s="7">
        <v>0</v>
      </c>
      <c r="H25" s="8">
        <f t="shared" si="2"/>
        <v>55</v>
      </c>
      <c r="I25" s="6">
        <v>60</v>
      </c>
      <c r="J25" s="9">
        <v>200</v>
      </c>
      <c r="K25" s="7">
        <v>0</v>
      </c>
      <c r="L25" s="9">
        <v>30</v>
      </c>
      <c r="M25" s="6">
        <f t="shared" si="3"/>
        <v>260</v>
      </c>
      <c r="N25" s="6"/>
      <c r="O25" s="6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3" sqref="B3"/>
    </sheetView>
  </sheetViews>
  <sheetFormatPr defaultRowHeight="14.5" x14ac:dyDescent="0.35"/>
  <cols>
    <col min="1" max="1" width="10.81640625" bestFit="1" customWidth="1"/>
    <col min="2" max="2" width="28.08984375" bestFit="1" customWidth="1"/>
    <col min="3" max="3" width="17.3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63</v>
      </c>
      <c r="C2">
        <v>127</v>
      </c>
    </row>
    <row r="3" spans="1:3" x14ac:dyDescent="0.35">
      <c r="A3" t="s">
        <v>4</v>
      </c>
      <c r="B3">
        <v>43.03</v>
      </c>
      <c r="C3">
        <v>60</v>
      </c>
    </row>
    <row r="4" spans="1:3" x14ac:dyDescent="0.35">
      <c r="A4" t="s">
        <v>5</v>
      </c>
      <c r="B4">
        <v>43.03</v>
      </c>
      <c r="C4">
        <v>200</v>
      </c>
    </row>
    <row r="5" spans="1:3" x14ac:dyDescent="0.35">
      <c r="A5" t="s">
        <v>6</v>
      </c>
      <c r="B5">
        <v>33</v>
      </c>
      <c r="C5">
        <v>63</v>
      </c>
    </row>
    <row r="6" spans="1:3" x14ac:dyDescent="0.35">
      <c r="A6" t="s">
        <v>7</v>
      </c>
      <c r="B6">
        <v>64</v>
      </c>
      <c r="C6">
        <v>100</v>
      </c>
    </row>
    <row r="7" spans="1:3" x14ac:dyDescent="0.35">
      <c r="A7" t="s">
        <v>8</v>
      </c>
      <c r="B7">
        <v>43.03</v>
      </c>
      <c r="C7"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7" sqref="B7"/>
    </sheetView>
  </sheetViews>
  <sheetFormatPr defaultRowHeight="14.5" x14ac:dyDescent="0.35"/>
  <cols>
    <col min="1" max="1" width="23" bestFit="1" customWidth="1"/>
  </cols>
  <sheetData>
    <row r="1" spans="1:2" x14ac:dyDescent="0.35">
      <c r="A1" s="1" t="s">
        <v>9</v>
      </c>
      <c r="B1" s="1" t="s">
        <v>10</v>
      </c>
    </row>
    <row r="2" spans="1:2" x14ac:dyDescent="0.35">
      <c r="A2" t="s">
        <v>11</v>
      </c>
      <c r="B2">
        <v>0</v>
      </c>
    </row>
    <row r="3" spans="1:2" x14ac:dyDescent="0.35">
      <c r="A3" t="s">
        <v>12</v>
      </c>
      <c r="B3">
        <v>50</v>
      </c>
    </row>
    <row r="4" spans="1:2" x14ac:dyDescent="0.35">
      <c r="A4" t="s">
        <v>13</v>
      </c>
      <c r="B4">
        <v>99</v>
      </c>
    </row>
    <row r="5" spans="1:2" x14ac:dyDescent="0.35">
      <c r="A5" t="s">
        <v>14</v>
      </c>
      <c r="B5">
        <v>100</v>
      </c>
    </row>
    <row r="6" spans="1:2" x14ac:dyDescent="0.35">
      <c r="A6" t="s">
        <v>15</v>
      </c>
      <c r="B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399F-8F0A-46C6-96D0-0DC7D6351613}">
  <dimension ref="A1:F11"/>
  <sheetViews>
    <sheetView tabSelected="1" topLeftCell="D1" workbookViewId="0">
      <selection activeCell="D2" sqref="D2"/>
    </sheetView>
  </sheetViews>
  <sheetFormatPr defaultColWidth="26.1796875" defaultRowHeight="14.5" x14ac:dyDescent="0.35"/>
  <sheetData>
    <row r="1" spans="1:6" x14ac:dyDescent="0.35">
      <c r="A1" s="2" t="s">
        <v>41</v>
      </c>
      <c r="B1" s="1" t="s">
        <v>16</v>
      </c>
      <c r="C1" s="2" t="s">
        <v>25</v>
      </c>
      <c r="D1" s="2" t="s">
        <v>26</v>
      </c>
      <c r="E1" s="2" t="s">
        <v>27</v>
      </c>
      <c r="F1" s="2" t="s">
        <v>23</v>
      </c>
    </row>
    <row r="2" spans="1:6" x14ac:dyDescent="0.35">
      <c r="A2" t="s">
        <v>35</v>
      </c>
      <c r="B2" s="3">
        <v>1</v>
      </c>
      <c r="C2" s="3" t="s">
        <v>8</v>
      </c>
      <c r="D2" s="3">
        <v>19</v>
      </c>
      <c r="E2" s="3">
        <v>23</v>
      </c>
      <c r="F2" s="3">
        <v>0</v>
      </c>
    </row>
    <row r="3" spans="1:6" x14ac:dyDescent="0.35">
      <c r="A3" t="s">
        <v>36</v>
      </c>
      <c r="B3" s="3">
        <v>0</v>
      </c>
      <c r="C3" s="3" t="s">
        <v>8</v>
      </c>
      <c r="D3" s="3">
        <v>0</v>
      </c>
      <c r="E3" s="3">
        <v>0</v>
      </c>
      <c r="F3" s="3">
        <v>165</v>
      </c>
    </row>
    <row r="4" spans="1:6" x14ac:dyDescent="0.35">
      <c r="A4" t="s">
        <v>17</v>
      </c>
      <c r="B4" s="3">
        <v>0</v>
      </c>
      <c r="C4" s="3" t="s">
        <v>3</v>
      </c>
      <c r="D4" s="3">
        <v>17</v>
      </c>
      <c r="E4" s="3">
        <v>22</v>
      </c>
      <c r="F4" s="3">
        <v>127</v>
      </c>
    </row>
    <row r="5" spans="1:6" x14ac:dyDescent="0.35">
      <c r="A5" t="s">
        <v>18</v>
      </c>
      <c r="B5" s="3">
        <v>1</v>
      </c>
      <c r="C5" s="3" t="s">
        <v>7</v>
      </c>
      <c r="D5" s="3">
        <v>17</v>
      </c>
      <c r="E5" s="3">
        <v>23</v>
      </c>
      <c r="F5" s="4">
        <v>0</v>
      </c>
    </row>
    <row r="6" spans="1:6" x14ac:dyDescent="0.35">
      <c r="A6" t="s">
        <v>19</v>
      </c>
      <c r="B6" s="3">
        <v>0</v>
      </c>
      <c r="C6" s="3" t="s">
        <v>8</v>
      </c>
      <c r="D6" s="3">
        <v>19</v>
      </c>
      <c r="E6" s="3">
        <v>23</v>
      </c>
      <c r="F6" s="3">
        <v>225</v>
      </c>
    </row>
    <row r="7" spans="1:6" x14ac:dyDescent="0.35">
      <c r="A7" t="s">
        <v>20</v>
      </c>
      <c r="B7" s="3">
        <v>0</v>
      </c>
      <c r="C7" s="3" t="s">
        <v>6</v>
      </c>
      <c r="D7" s="3">
        <v>0</v>
      </c>
      <c r="E7" s="3">
        <v>0</v>
      </c>
      <c r="F7" s="3">
        <v>34</v>
      </c>
    </row>
    <row r="8" spans="1:6" x14ac:dyDescent="0.35">
      <c r="A8" t="s">
        <v>21</v>
      </c>
      <c r="B8" s="3">
        <v>0</v>
      </c>
      <c r="C8" s="3" t="s">
        <v>7</v>
      </c>
      <c r="D8" s="3">
        <v>0</v>
      </c>
      <c r="E8" s="3">
        <v>0</v>
      </c>
      <c r="F8" s="3">
        <v>0</v>
      </c>
    </row>
    <row r="9" spans="1:6" x14ac:dyDescent="0.35">
      <c r="A9" t="s">
        <v>22</v>
      </c>
      <c r="B9" s="3">
        <v>0</v>
      </c>
      <c r="C9" s="3" t="s">
        <v>8</v>
      </c>
      <c r="D9" s="3">
        <v>0</v>
      </c>
      <c r="E9" s="3">
        <v>0</v>
      </c>
      <c r="F9" s="3">
        <v>0</v>
      </c>
    </row>
    <row r="10" spans="1:6" x14ac:dyDescent="0.35">
      <c r="A10" t="s">
        <v>33</v>
      </c>
      <c r="B10" s="3">
        <v>0</v>
      </c>
      <c r="C10" s="3" t="s">
        <v>7</v>
      </c>
      <c r="D10" s="3">
        <v>0</v>
      </c>
      <c r="E10" s="3">
        <v>0</v>
      </c>
      <c r="F10" s="3">
        <v>0</v>
      </c>
    </row>
    <row r="11" spans="1:6" x14ac:dyDescent="0.35">
      <c r="A11" t="s">
        <v>32</v>
      </c>
      <c r="B11" s="3">
        <v>0</v>
      </c>
      <c r="C11" s="3" t="s">
        <v>34</v>
      </c>
      <c r="D11" s="3">
        <v>0</v>
      </c>
      <c r="E11" s="3">
        <v>0</v>
      </c>
      <c r="F1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INPUT_24H</vt:lpstr>
      <vt:lpstr>COUTS_SOURCES</vt:lpstr>
      <vt:lpstr>PARAMETRES_SECURITE</vt:lpstr>
      <vt:lpstr>SCENARIOS_DYNAMIQUES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Mahoutin Bernard Alexis Honzounnon</cp:lastModifiedBy>
  <dcterms:created xsi:type="dcterms:W3CDTF">2026-02-26T13:53:21Z</dcterms:created>
  <dcterms:modified xsi:type="dcterms:W3CDTF">2026-03-03T01:57:41Z</dcterms:modified>
</cp:coreProperties>
</file>